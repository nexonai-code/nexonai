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wertung" sheetId="1" state="visible" r:id="rId1"/>
    <sheet xmlns:r="http://schemas.openxmlformats.org/officeDocument/2006/relationships" name="Fakten und Preise" sheetId="2" state="visible" r:id="rId2"/>
    <sheet xmlns:r="http://schemas.openxmlformats.org/officeDocument/2006/relationships" name="Fragen 1 bis 11"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Open Sans"/>
      <b val="1"/>
      <color rgb="000F2A3A"/>
      <sz val="14"/>
    </font>
    <font>
      <name val="Open Sans"/>
      <b val="1"/>
      <color rgb="00FFFFFF"/>
    </font>
    <font>
      <name val="Open Sans"/>
      <b val="1"/>
    </font>
  </fonts>
  <fills count="5">
    <fill>
      <patternFill/>
    </fill>
    <fill>
      <patternFill patternType="gray125"/>
    </fill>
    <fill>
      <patternFill patternType="solid">
        <fgColor rgb="000F2A3A"/>
      </patternFill>
    </fill>
    <fill>
      <patternFill patternType="solid">
        <fgColor rgb="00EAF3F9"/>
      </patternFill>
    </fill>
    <fill>
      <patternFill patternType="solid">
        <fgColor rgb="00F3F4F6"/>
      </patternFill>
    </fill>
  </fills>
  <borders count="2">
    <border>
      <left/>
      <right/>
      <top/>
      <bottom/>
      <diagonal/>
    </border>
    <border>
      <left style="thin">
        <color rgb="00C9D3DA"/>
      </left>
      <right style="thin">
        <color rgb="00C9D3DA"/>
      </right>
      <top style="thin">
        <color rgb="00C9D3DA"/>
      </top>
      <bottom style="thin">
        <color rgb="00C9D3DA"/>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0" borderId="1" applyAlignment="1" pivotButton="0" quotePrefix="0" xfId="0">
      <alignment vertical="top" wrapText="1"/>
    </xf>
    <xf numFmtId="0" fontId="0" fillId="3" borderId="1" pivotButton="0" quotePrefix="0" xfId="0"/>
    <xf numFmtId="0" fontId="0" fillId="0" borderId="1" applyAlignment="1" pivotButton="0" quotePrefix="0" xfId="0">
      <alignment vertical="top" wrapText="1"/>
    </xf>
    <xf numFmtId="0" fontId="0" fillId="3" borderId="1" applyAlignment="1" pivotButton="0" quotePrefix="0" xfId="0">
      <alignment horizontal="center" vertical="center"/>
    </xf>
    <xf numFmtId="0" fontId="3" fillId="0" borderId="0" pivotButton="0" quotePrefix="0" xfId="0"/>
    <xf numFmtId="2" fontId="3" fillId="4" borderId="0" applyAlignment="1" pivotButton="0" quotePrefix="0" xfId="0">
      <alignment horizontal="center"/>
    </xf>
    <xf numFmtId="9" fontId="3" fillId="4" borderId="0" applyAlignment="1" pivotButton="0" quotePrefix="0" xfId="0">
      <alignment horizontal="center"/>
    </xf>
    <xf numFmtId="0" fontId="3" fillId="4" borderId="0" applyAlignment="1" pivotButton="0" quotePrefix="0" xfId="0">
      <alignment horizontal="center"/>
    </xf>
    <xf numFmtId="0" fontId="0" fillId="0" borderId="1" pivotButton="0" quotePrefix="0" xfId="0"/>
    <xf numFmtId="0" fontId="0" fillId="3" borderId="1" applyAlignment="1" pivotButton="0" quotePrefix="0" xfId="0">
      <alignment vertical="top" wrapText="1"/>
    </xf>
    <xf numFmtId="0" fontId="0" fillId="4" borderId="1" pivotButton="0" quotePrefix="0" xfId="0"/>
    <xf numFmtId="9" fontId="0" fillId="4" borderId="1" pivotButton="0" quotePrefix="0" xfId="0"/>
    <xf numFmtId="3" fontId="0" fillId="4" borderId="1" pivotButton="0" quotePrefix="0" xfId="0"/>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60" customWidth="1" min="3" max="3"/>
    <col width="20" customWidth="1" min="4" max="4"/>
    <col width="20" customWidth="1" min="5" max="5"/>
    <col width="20" customWidth="1" min="6" max="6"/>
    <col width="20" customWidth="1" min="7" max="7"/>
  </cols>
  <sheetData>
    <row r="1">
      <c r="A1" s="1" t="inlineStr">
        <is>
          <t>unpruuf Audit-Angebote: Bewertung</t>
        </is>
      </c>
    </row>
    <row r="2" ht="44" customHeight="1">
      <c r="A2" s="2" t="inlineStr">
        <is>
          <t>Punkte 0 bis 5 in die blauen Felder (0 = fehlt / nicht beantwortet, 3 = erfüllt, 5 = überzeugend belegt). Gewichte stammen aus der Ausschreibung Abschnitt 9 und lassen sich ändern. Die Gesamtsumme rechnet sich selbst.</t>
        </is>
      </c>
    </row>
    <row r="4">
      <c r="A4" s="3" t="inlineStr">
        <is>
          <t>Kriterium</t>
        </is>
      </c>
      <c r="B4" s="3" t="inlineStr">
        <is>
          <t>Gewicht %</t>
        </is>
      </c>
      <c r="C4" s="3" t="inlineStr">
        <is>
          <t>Woran du es festmachst</t>
        </is>
      </c>
      <c r="D4" s="3" t="inlineStr">
        <is>
          <t>DOCISIA / VĂZDUH</t>
        </is>
      </c>
      <c r="E4" s="3" t="inlineStr">
        <is>
          <t>Firma 2</t>
        </is>
      </c>
      <c r="F4" s="3" t="inlineStr">
        <is>
          <t>Firma 3</t>
        </is>
      </c>
      <c r="G4" s="3" t="inlineStr">
        <is>
          <t>Firma 4</t>
        </is>
      </c>
    </row>
    <row r="5" ht="78" customHeight="1">
      <c r="A5" s="4" t="inlineStr">
        <is>
          <t>Kompetenz und Referenzen</t>
        </is>
      </c>
      <c r="B5" s="5" t="n">
        <v>35</v>
      </c>
      <c r="C5" s="6" t="inlineStr">
        <is>
          <t>Namentlich genannter Krypto-Prüfer mit vergleichbaren Messenger-/E2E-/Anonymitäts-Prüfungen (Frage 3), Android und Tor/Node-Erfahrung (4), zwei Referenzen und ein Musterbericht (5). DNSC-Zulassung zählt hier als Plus, nie als Ersatz.</t>
        </is>
      </c>
      <c r="D5" s="7" t="n"/>
      <c r="E5" s="7" t="n"/>
      <c r="F5" s="7" t="n"/>
      <c r="G5" s="7" t="n"/>
    </row>
    <row r="6" ht="78" customHeight="1">
      <c r="A6" s="4" t="inlineStr">
        <is>
          <t>Passung der Methode zum Umfang</t>
        </is>
      </c>
      <c r="B6" s="5" t="n">
        <v>25</v>
      </c>
      <c r="C6" s="6" t="inlineStr">
        <is>
          <t>Ansatz je Punkt des Basisumfangs auf höchstens zwei Seiten, Standards (MASVS, ASVS), versteht Tor, Metadaten, Bau-/Release-Kette (Frage 9).</t>
        </is>
      </c>
      <c r="D6" s="7" t="n"/>
      <c r="E6" s="7" t="n"/>
      <c r="F6" s="7" t="n"/>
      <c r="G6" s="7" t="n"/>
    </row>
    <row r="7" ht="78" customHeight="1">
      <c r="A7" s="4" t="inlineStr">
        <is>
          <t>Lieferumfang und Bedingungen</t>
        </is>
      </c>
      <c r="B7" s="5" t="n">
        <v>15</v>
      </c>
      <c r="C7" s="6" t="inlineStr">
        <is>
          <t>Entwurf 5 Arbeitstage vorab, Zwischenmeldung in 1 Arbeitstag, Nachprüfung inkl. Critical/High und gewählter Mediums, Zitierrecht, Management- und öffentliche Kurzfassung, Bericht EN+RO signiert.</t>
        </is>
      </c>
      <c r="D7" s="7" t="n"/>
      <c r="E7" s="7" t="n"/>
      <c r="F7" s="7" t="n"/>
      <c r="G7" s="7" t="n"/>
    </row>
    <row r="8" ht="78" customHeight="1">
      <c r="A8" s="4" t="inlineStr">
        <is>
          <t>Preis</t>
        </is>
      </c>
      <c r="B8" s="5" t="n">
        <v>15</v>
      </c>
      <c r="C8" s="6" t="inlineStr">
        <is>
          <t>Basis (Lot A) als ein Preis, Optionen B bis F einzeln, Tagessätze, Nachprüfung, zweite Berichtssprache. Günstigster Preis = 5, danach anteilig.</t>
        </is>
      </c>
      <c r="D8" s="7" t="n"/>
      <c r="E8" s="7" t="n"/>
      <c r="F8" s="7" t="n"/>
      <c r="G8" s="7" t="n"/>
    </row>
    <row r="9" ht="78" customHeight="1">
      <c r="A9" s="4" t="inlineStr">
        <is>
          <t>Termin und Verfügbarkeit</t>
        </is>
      </c>
      <c r="B9" s="5" t="n">
        <v>10</v>
      </c>
      <c r="C9" s="6" t="inlineStr">
        <is>
          <t>Start Dezember 2026 bis Februar 2027, Vollzeit oder Teilzeit je Person (Frage 10).</t>
        </is>
      </c>
      <c r="D9" s="7" t="n"/>
      <c r="E9" s="7" t="n"/>
      <c r="F9" s="7" t="n"/>
      <c r="G9" s="7" t="n"/>
    </row>
    <row r="10">
      <c r="A10" s="8" t="inlineStr">
        <is>
          <t>Summe Gewicht</t>
        </is>
      </c>
      <c r="B10">
        <f>SUM(B5:B9)</f>
        <v/>
      </c>
      <c r="C10">
        <f>IF(B10=100,"stimmt","Gewichte ergeben nicht 100")</f>
        <v/>
      </c>
    </row>
    <row r="11">
      <c r="A11" s="8" t="inlineStr">
        <is>
          <t>Gesamtpunkte (0 bis 5)</t>
        </is>
      </c>
      <c r="D11" s="9">
        <f>IF(COUNT(D5:D9)=0,"",SUMPRODUCT($B$5:$B$9,D5:D9)/$B$10)</f>
        <v/>
      </c>
      <c r="E11" s="9">
        <f>IF(COUNT(E5:E9)=0,"",SUMPRODUCT($B$5:$B$9,E5:E9)/$B$10)</f>
        <v/>
      </c>
      <c r="F11" s="9">
        <f>IF(COUNT(F5:F9)=0,"",SUMPRODUCT($B$5:$B$9,F5:F9)/$B$10)</f>
        <v/>
      </c>
      <c r="G11" s="9">
        <f>IF(COUNT(G5:G9)=0,"",SUMPRODUCT($B$5:$B$9,G5:G9)/$B$10)</f>
        <v/>
      </c>
    </row>
    <row r="12">
      <c r="A12" s="8" t="inlineStr">
        <is>
          <t>Gesamtpunkte in Prozent</t>
        </is>
      </c>
      <c r="D12" s="10">
        <f>IF(D11="","",D11/5)</f>
        <v/>
      </c>
      <c r="E12" s="10">
        <f>IF(E11="","",E11/5)</f>
        <v/>
      </c>
      <c r="F12" s="10">
        <f>IF(F11="","",F11/5)</f>
        <v/>
      </c>
      <c r="G12" s="10">
        <f>IF(G11="","",G11/5)</f>
        <v/>
      </c>
    </row>
    <row r="13">
      <c r="A13" s="8" t="inlineStr">
        <is>
          <t>Rang</t>
        </is>
      </c>
      <c r="D13" s="11">
        <f>IF(D11="","",RANK(D11,$D$11:$G$11))</f>
        <v/>
      </c>
      <c r="E13" s="11">
        <f>IF(E11="","",RANK(E11,$D$11:$G$11))</f>
        <v/>
      </c>
      <c r="F13" s="11">
        <f>IF(F11="","",RANK(F11,$D$11:$G$11))</f>
        <v/>
      </c>
      <c r="G13" s="11">
        <f>IF(G11="","",RANK(G11,$D$11:$G$11))</f>
        <v/>
      </c>
    </row>
    <row r="15" ht="40" customHeight="1">
      <c r="A15" s="2" t="inlineStr">
        <is>
          <t>Hinweis: Punkte sind deine Einschätzung. Die Tabelle trifft keine Entscheidung. Eine Firma ohne benannten Krypto-Prüfer sollte nicht über 2 Punkte bei Kompetenz kommen, egal wie günstig sie ist.</t>
        </is>
      </c>
    </row>
  </sheetData>
  <mergeCells count="2">
    <mergeCell ref="A2:G2"/>
    <mergeCell ref="A15:G15"/>
  </mergeCells>
  <dataValidations count="1">
    <dataValidation sqref="D5:G9" showDropDown="0" showInputMessage="0" showErrorMessage="1" allowBlank="0" errorTitle="0 bis 5" error="Bitte eine ganze Zahl von 0 bis 5." type="whole" operator="between">
      <formula1>0</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2" customWidth="1" min="1" max="1"/>
    <col width="18" customWidth="1" min="2" max="2"/>
    <col width="30" customWidth="1" min="3" max="3"/>
    <col width="30" customWidth="1" min="4" max="4"/>
    <col width="30" customWidth="1" min="5" max="5"/>
    <col width="30" customWidth="1" min="6" max="6"/>
  </cols>
  <sheetData>
    <row r="1">
      <c r="A1" s="1" t="inlineStr">
        <is>
          <t>Preise und harte Fakten</t>
        </is>
      </c>
    </row>
    <row r="3">
      <c r="A3" s="3" t="inlineStr">
        <is>
          <t>Punkt</t>
        </is>
      </c>
      <c r="B3" s="3" t="inlineStr">
        <is>
          <t>Einheit</t>
        </is>
      </c>
      <c r="C3" s="3" t="inlineStr">
        <is>
          <t>DOCISIA / VĂZDUH</t>
        </is>
      </c>
      <c r="D3" s="3" t="inlineStr">
        <is>
          <t>Firma 2</t>
        </is>
      </c>
      <c r="E3" s="3" t="inlineStr">
        <is>
          <t>Firma 3</t>
        </is>
      </c>
      <c r="F3" s="3" t="inlineStr">
        <is>
          <t>Firma 4</t>
        </is>
      </c>
    </row>
    <row r="4">
      <c r="A4" s="6" t="inlineStr">
        <is>
          <t>Basisumfang Lot A: Preis</t>
        </is>
      </c>
      <c r="B4" s="12" t="inlineStr">
        <is>
          <t>EUR ohne MwSt.</t>
        </is>
      </c>
      <c r="C4" s="13" t="inlineStr">
        <is>
          <t>Offen: kommerzielles Angebot fehlt.</t>
        </is>
      </c>
      <c r="D4" s="13" t="n"/>
      <c r="E4" s="13" t="n"/>
      <c r="F4" s="13" t="n"/>
    </row>
    <row r="5">
      <c r="A5" s="6" t="inlineStr">
        <is>
          <t>Basisumfang Lot A: Personentage</t>
        </is>
      </c>
      <c r="B5" s="12" t="inlineStr">
        <is>
          <t>Tage</t>
        </is>
      </c>
      <c r="C5" s="13" t="n"/>
      <c r="D5" s="13" t="n"/>
      <c r="E5" s="13" t="n"/>
      <c r="F5" s="13" t="n"/>
    </row>
    <row r="6">
      <c r="A6" s="6" t="inlineStr">
        <is>
          <t>Lot B Compliance-App, Officer-App, Web-Reporter</t>
        </is>
      </c>
      <c r="B6" s="12" t="inlineStr">
        <is>
          <t>EUR</t>
        </is>
      </c>
      <c r="C6" s="13" t="n"/>
      <c r="D6" s="13" t="n"/>
      <c r="E6" s="13" t="n"/>
      <c r="F6" s="13" t="n"/>
    </row>
    <row r="7">
      <c r="A7" s="6" t="inlineStr">
        <is>
          <t>Lot C Control</t>
        </is>
      </c>
      <c r="B7" s="12" t="inlineStr">
        <is>
          <t>EUR</t>
        </is>
      </c>
      <c r="C7" s="13" t="n"/>
      <c r="D7" s="13" t="n"/>
      <c r="E7" s="13" t="n"/>
      <c r="F7" s="13" t="n"/>
    </row>
    <row r="8">
      <c r="A8" s="6" t="inlineStr">
        <is>
          <t>Lot D Gast-Edition und Grants</t>
        </is>
      </c>
      <c r="B8" s="12" t="inlineStr">
        <is>
          <t>EUR</t>
        </is>
      </c>
      <c r="C8" s="13" t="n"/>
      <c r="D8" s="13" t="n"/>
      <c r="E8" s="13" t="n"/>
      <c r="F8" s="13" t="n"/>
    </row>
    <row r="9">
      <c r="A9" s="6" t="inlineStr">
        <is>
          <t>Lot E Press</t>
        </is>
      </c>
      <c r="B9" s="12" t="inlineStr">
        <is>
          <t>EUR</t>
        </is>
      </c>
      <c r="C9" s="13" t="n"/>
      <c r="D9" s="13" t="n"/>
      <c r="E9" s="13" t="n"/>
      <c r="F9" s="13" t="n"/>
    </row>
    <row r="10">
      <c r="A10" s="6" t="inlineStr">
        <is>
          <t>Lot F relay-android</t>
        </is>
      </c>
      <c r="B10" s="12" t="inlineStr">
        <is>
          <t>EUR</t>
        </is>
      </c>
      <c r="C10" s="13" t="n"/>
      <c r="D10" s="13" t="n"/>
      <c r="E10" s="13" t="n"/>
      <c r="F10" s="13" t="n"/>
    </row>
    <row r="11">
      <c r="A11" s="6" t="inlineStr">
        <is>
          <t>Nachprüfung (wie beschrieben)</t>
        </is>
      </c>
      <c r="B11" s="12" t="inlineStr">
        <is>
          <t>EUR</t>
        </is>
      </c>
      <c r="C11" s="13" t="n"/>
      <c r="D11" s="13" t="n"/>
      <c r="E11" s="13" t="n"/>
      <c r="F11" s="13" t="n"/>
    </row>
    <row r="12">
      <c r="A12" s="6" t="inlineStr">
        <is>
          <t>Weitere Nachprüfungsrunde</t>
        </is>
      </c>
      <c r="B12" s="12" t="inlineStr">
        <is>
          <t>EUR</t>
        </is>
      </c>
      <c r="C12" s="13" t="n"/>
      <c r="D12" s="13" t="n"/>
      <c r="E12" s="13" t="n"/>
      <c r="F12" s="13" t="n"/>
    </row>
    <row r="13">
      <c r="A13" s="6" t="inlineStr">
        <is>
          <t>Zweite Berichtssprache</t>
        </is>
      </c>
      <c r="B13" s="12" t="inlineStr">
        <is>
          <t>EUR</t>
        </is>
      </c>
      <c r="C13" s="13" t="n"/>
      <c r="D13" s="13" t="n"/>
      <c r="E13" s="13" t="n"/>
      <c r="F13" s="13" t="n"/>
    </row>
    <row r="14">
      <c r="A14" s="6" t="inlineStr">
        <is>
          <t>Öffentliche Kurzfassung</t>
        </is>
      </c>
      <c r="B14" s="12" t="inlineStr">
        <is>
          <t>EUR</t>
        </is>
      </c>
      <c r="C14" s="13" t="n"/>
      <c r="D14" s="13" t="n"/>
      <c r="E14" s="13" t="n"/>
      <c r="F14" s="13" t="n"/>
    </row>
    <row r="15">
      <c r="A15" s="6" t="inlineStr">
        <is>
          <t>Reisekosten</t>
        </is>
      </c>
      <c r="B15" s="12" t="inlineStr">
        <is>
          <t>EUR</t>
        </is>
      </c>
      <c r="C15" s="13" t="n"/>
      <c r="D15" s="13" t="n"/>
      <c r="E15" s="13" t="n"/>
      <c r="F15" s="13" t="n"/>
    </row>
    <row r="16">
      <c r="A16" s="6" t="inlineStr">
        <is>
          <t>Festpreis oder Obergrenze (Aufwand)</t>
        </is>
      </c>
      <c r="B16" s="12" t="inlineStr">
        <is>
          <t>Text</t>
        </is>
      </c>
      <c r="C16" s="13" t="n"/>
      <c r="D16" s="13" t="n"/>
      <c r="E16" s="13" t="n"/>
      <c r="F16" s="13" t="n"/>
    </row>
    <row r="17">
      <c r="A17" s="6" t="inlineStr">
        <is>
          <t>Angebot gültig bis</t>
        </is>
      </c>
      <c r="B17" s="12" t="inlineStr">
        <is>
          <t>Datum</t>
        </is>
      </c>
      <c r="C17" s="13" t="n"/>
      <c r="D17" s="13" t="n"/>
      <c r="E17" s="13" t="n"/>
      <c r="F17" s="13" t="n"/>
    </row>
    <row r="18">
      <c r="A18" s="6" t="inlineStr">
        <is>
          <t>Zahlungsbedingungen</t>
        </is>
      </c>
      <c r="B18" s="12" t="inlineStr">
        <is>
          <t>Text</t>
        </is>
      </c>
      <c r="C18" s="13" t="n"/>
      <c r="D18" s="13" t="n"/>
      <c r="E18" s="13" t="n"/>
      <c r="F18" s="13" t="n"/>
    </row>
    <row r="19">
      <c r="A19" s="6" t="inlineStr">
        <is>
          <t>Frühester Start</t>
        </is>
      </c>
      <c r="B19" s="12" t="inlineStr">
        <is>
          <t>Datum</t>
        </is>
      </c>
      <c r="C19" s="13" t="n"/>
      <c r="D19" s="13" t="n"/>
      <c r="E19" s="13" t="n"/>
      <c r="F19" s="13" t="n"/>
    </row>
    <row r="20">
      <c r="A20" s="6" t="inlineStr">
        <is>
          <t>Dauer bis Endbericht</t>
        </is>
      </c>
      <c r="B20" s="12" t="inlineStr">
        <is>
          <t>Wochen</t>
        </is>
      </c>
      <c r="C20" s="13" t="n"/>
      <c r="D20" s="13" t="n"/>
      <c r="E20" s="13" t="n"/>
      <c r="F20" s="13" t="n"/>
    </row>
    <row r="21">
      <c r="A21" s="6" t="inlineStr">
        <is>
          <t>Krypto-Prüfer benannt (Name)</t>
        </is>
      </c>
      <c r="B21" s="12" t="inlineStr">
        <is>
          <t>Text</t>
        </is>
      </c>
      <c r="C21" s="13" t="inlineStr">
        <is>
          <t>Offen: im Angebot nicht benannt (Frage in Antwortentwurf).</t>
        </is>
      </c>
      <c r="D21" s="13" t="n"/>
      <c r="E21" s="13" t="n"/>
      <c r="F21" s="13" t="n"/>
    </row>
    <row r="22">
      <c r="A22" s="6" t="inlineStr">
        <is>
          <t>Berufshaftpflicht (Deckungssumme)</t>
        </is>
      </c>
      <c r="B22" s="12" t="inlineStr">
        <is>
          <t>EUR</t>
        </is>
      </c>
      <c r="C22" s="13" t="n"/>
      <c r="D22" s="13" t="n"/>
      <c r="E22" s="13" t="n"/>
      <c r="F22" s="13" t="n"/>
    </row>
    <row r="23">
      <c r="A23" s="6" t="inlineStr">
        <is>
          <t>DNSC-Zulassung: Inhaber, Typ, Nummer, Laufzeit</t>
        </is>
      </c>
      <c r="B23" s="12" t="inlineStr">
        <is>
          <t>Text</t>
        </is>
      </c>
      <c r="C23" s="13" t="inlineStr">
        <is>
          <t>Angabe im Angebot: CLE 26031, CIE 26025. Noch nicht auf dnsc.ro geprüft.</t>
        </is>
      </c>
      <c r="D23" s="13" t="n"/>
      <c r="E23" s="13" t="n"/>
      <c r="F23" s="13" t="n"/>
    </row>
    <row r="24">
      <c r="A24" s="6" t="inlineStr">
        <is>
          <t>DNSC-Zulassung deckt Quellcode- und Produkt-Pentest</t>
        </is>
      </c>
      <c r="B24" s="12" t="inlineStr">
        <is>
          <t>ja / nein / unklar</t>
        </is>
      </c>
      <c r="C24" s="13" t="n"/>
      <c r="D24" s="13" t="n"/>
      <c r="E24" s="13" t="n"/>
      <c r="F24" s="13" t="n"/>
    </row>
    <row r="25">
      <c r="A25" s="6" t="inlineStr">
        <is>
          <t>DNSC-Zulassung auf dnsc.ro geprüft am</t>
        </is>
      </c>
      <c r="B25" s="12" t="inlineStr">
        <is>
          <t>Datum</t>
        </is>
      </c>
      <c r="C25" s="13" t="n"/>
      <c r="D25" s="13" t="n"/>
      <c r="E25" s="13" t="n"/>
      <c r="F25" s="13" t="n"/>
    </row>
    <row r="26">
      <c r="A26" s="6" t="inlineStr">
        <is>
          <t>Unabhängigkeitserklärung inkl. Bezug zu Institutionen in Alba Iulia</t>
        </is>
      </c>
      <c r="B26" s="12" t="inlineStr">
        <is>
          <t>ja / nein</t>
        </is>
      </c>
      <c r="C26" s="13" t="n"/>
      <c r="D26" s="13" t="n"/>
      <c r="E26" s="13" t="n"/>
      <c r="F26" s="13" t="n"/>
    </row>
    <row r="27">
      <c r="A27" s="6" t="inlineStr">
        <is>
          <t>Musterbericht erhalten</t>
        </is>
      </c>
      <c r="B27" s="12" t="inlineStr">
        <is>
          <t>ja / nein</t>
        </is>
      </c>
      <c r="C27" s="13" t="n"/>
      <c r="D27" s="13" t="n"/>
      <c r="E27" s="13" t="n"/>
      <c r="F27" s="13" t="n"/>
    </row>
    <row r="28">
      <c r="A28" s="6" t="inlineStr">
        <is>
          <t>Zwei Referenzen genannt</t>
        </is>
      </c>
      <c r="B28" s="12" t="inlineStr">
        <is>
          <t>ja / nein</t>
        </is>
      </c>
      <c r="C28" s="13" t="n"/>
      <c r="D28" s="13" t="n"/>
      <c r="E28" s="13" t="n"/>
      <c r="F28" s="13" t="n"/>
    </row>
    <row r="29">
      <c r="A29" s="6" t="inlineStr">
        <is>
          <t>Zitierrecht im Wortlaut zugesagt</t>
        </is>
      </c>
      <c r="B29" s="12" t="inlineStr">
        <is>
          <t>ja / nein</t>
        </is>
      </c>
      <c r="C29" s="13" t="n"/>
      <c r="D29" s="13" t="n"/>
      <c r="E29" s="13" t="n"/>
      <c r="F29" s="13" t="n"/>
    </row>
    <row r="30">
      <c r="A30" s="6" t="inlineStr">
        <is>
          <t>Entwurf vorab zur Sachkorrektur zugesagt</t>
        </is>
      </c>
      <c r="B30" s="12" t="inlineStr">
        <is>
          <t>ja / nein</t>
        </is>
      </c>
      <c r="C30" s="13" t="n"/>
      <c r="D30" s="13" t="n"/>
      <c r="E30" s="13" t="n"/>
      <c r="F30" s="13" t="n"/>
    </row>
    <row r="31">
      <c r="A31" s="6" t="inlineStr">
        <is>
          <t>Zwischenmeldung bei Critical/High innerhalb 1 Arbeitstag</t>
        </is>
      </c>
      <c r="B31" s="12" t="inlineStr">
        <is>
          <t>ja / nein</t>
        </is>
      </c>
      <c r="C31" s="13" t="n"/>
      <c r="D31" s="13" t="n"/>
      <c r="E31" s="13" t="n"/>
      <c r="F31" s="13" t="n"/>
    </row>
    <row r="33">
      <c r="A33" s="8" t="inlineStr">
        <is>
          <t>Preisvergleich Lot A (günstigster = 100 %)</t>
        </is>
      </c>
    </row>
    <row r="34">
      <c r="A34" s="14" t="inlineStr">
        <is>
          <t>Lot A relativ zum günstigsten</t>
        </is>
      </c>
      <c r="B34" s="14" t="n"/>
      <c r="C34" s="15">
        <f>IF(COUNT(C4)=0,"",C4/MIN($C$4:$F$4))</f>
        <v/>
      </c>
      <c r="D34" s="15">
        <f>IF(COUNT(D4)=0,"",D4/MIN($C$4:$F$4))</f>
        <v/>
      </c>
      <c r="E34" s="15">
        <f>IF(COUNT(E4)=0,"",E4/MIN($C$4:$F$4))</f>
        <v/>
      </c>
      <c r="F34" s="15">
        <f>IF(COUNT(F4)=0,"",F4/MIN($C$4:$F$4))</f>
        <v/>
      </c>
    </row>
    <row r="35">
      <c r="A35" s="14" t="inlineStr">
        <is>
          <t>Lot A plus alle Optionen B bis F</t>
        </is>
      </c>
      <c r="B35" s="14" t="n"/>
      <c r="C35" s="16">
        <f>IF(COUNT(C4)=0,"",SUM(C4,C6:C10))</f>
        <v/>
      </c>
      <c r="D35" s="16">
        <f>IF(COUNT(D4)=0,"",SUM(D4,D6:D10))</f>
        <v/>
      </c>
      <c r="E35" s="16">
        <f>IF(COUNT(E4)=0,"",SUM(E4,E6:E10))</f>
        <v/>
      </c>
      <c r="F35" s="16">
        <f>IF(COUNT(F4)=0,"",SUM(F4,F6:F10))</f>
        <v/>
      </c>
    </row>
    <row r="36">
      <c r="A36" s="14" t="inlineStr">
        <is>
          <t>Tagessatz Lot A (Preis / Tage)</t>
        </is>
      </c>
      <c r="B36" s="14" t="n"/>
      <c r="C36" s="16">
        <f>IF(OR(COUNT(C4)=0,COUNT(C5)=0),"",C4/C5)</f>
        <v/>
      </c>
      <c r="D36" s="16">
        <f>IF(OR(COUNT(D4)=0,COUNT(D5)=0),"",D4/D5)</f>
        <v/>
      </c>
      <c r="E36" s="16">
        <f>IF(OR(COUNT(E4)=0,COUNT(E5)=0),"",E4/E5)</f>
        <v/>
      </c>
      <c r="F36" s="16">
        <f>IF(OR(COUNT(F4)=0,COUNT(F5)=0),"",F4/F5)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70" customWidth="1" min="2" max="2"/>
    <col width="20" customWidth="1" min="3" max="3"/>
    <col width="20" customWidth="1" min="4" max="4"/>
    <col width="20" customWidth="1" min="5" max="5"/>
    <col width="20" customWidth="1" min="6" max="6"/>
  </cols>
  <sheetData>
    <row r="1">
      <c r="A1" s="1" t="inlineStr">
        <is>
          <t>Haben sie alle elf Fragen der Ausschreibung beantwortet?</t>
        </is>
      </c>
    </row>
    <row r="3">
      <c r="A3" s="17" t="inlineStr">
        <is>
          <t>Nr.</t>
        </is>
      </c>
      <c r="B3" s="17" t="inlineStr">
        <is>
          <t>Frage</t>
        </is>
      </c>
      <c r="C3" s="17" t="inlineStr">
        <is>
          <t>DOCISIA / VĂZDUH</t>
        </is>
      </c>
      <c r="D3" s="17" t="inlineStr">
        <is>
          <t>Firma 2</t>
        </is>
      </c>
      <c r="E3" s="17" t="inlineStr">
        <is>
          <t>Firma 3</t>
        </is>
      </c>
      <c r="F3" s="17" t="inlineStr">
        <is>
          <t>Firma 4</t>
        </is>
      </c>
    </row>
    <row r="4">
      <c r="A4" s="12" t="n">
        <v>1</v>
      </c>
      <c r="B4" s="6" t="inlineStr">
        <is>
          <t>Firma, Registernummer, Konsortium-Rollen</t>
        </is>
      </c>
      <c r="C4" s="5" t="n"/>
      <c r="D4" s="5" t="n"/>
      <c r="E4" s="5" t="n"/>
      <c r="F4" s="5" t="n"/>
    </row>
    <row r="5">
      <c r="A5" s="12" t="n">
        <v>2</v>
      </c>
      <c r="B5" s="6" t="inlineStr">
        <is>
          <t>Namen, Qualifikationen, Zertifikate, Tagesanteile, Lebensläufe</t>
        </is>
      </c>
      <c r="C5" s="5" t="n"/>
      <c r="D5" s="5" t="n"/>
      <c r="E5" s="5" t="n"/>
      <c r="F5" s="5" t="n"/>
    </row>
    <row r="6">
      <c r="A6" s="12" t="n">
        <v>3</v>
      </c>
      <c r="B6" s="6" t="inlineStr">
        <is>
          <t>Wer prüft die Kryptografie, mit welchen vergleichbaren Prüfungen, Unterauftragnehmer?</t>
        </is>
      </c>
      <c r="C6" s="5" t="n"/>
      <c r="D6" s="5" t="n"/>
      <c r="E6" s="5" t="n"/>
      <c r="F6" s="5" t="n"/>
    </row>
    <row r="7">
      <c r="A7" s="12" t="n">
        <v>4</v>
      </c>
      <c r="B7" s="6" t="inlineStr">
        <is>
          <t>Android-Reverse-Engineering, Tor/Onion, Node.js-Erfahrung</t>
        </is>
      </c>
      <c r="C7" s="5" t="n"/>
      <c r="D7" s="5" t="n"/>
      <c r="E7" s="5" t="n"/>
      <c r="F7" s="5" t="n"/>
    </row>
    <row r="8">
      <c r="A8" s="12" t="n">
        <v>5</v>
      </c>
      <c r="B8" s="6" t="inlineStr">
        <is>
          <t>Zwei Referenzen und Musterbericht</t>
        </is>
      </c>
      <c r="C8" s="5" t="n"/>
      <c r="D8" s="5" t="n"/>
      <c r="E8" s="5" t="n"/>
      <c r="F8" s="5" t="n"/>
    </row>
    <row r="9">
      <c r="A9" s="12" t="n">
        <v>6</v>
      </c>
      <c r="B9" s="6" t="inlineStr">
        <is>
          <t>Berufshaftpflicht, Qualitäts-/Sicherheitszertifikate</t>
        </is>
      </c>
      <c r="C9" s="5" t="n"/>
      <c r="D9" s="5" t="n"/>
      <c r="E9" s="5" t="n"/>
      <c r="F9" s="5" t="n"/>
    </row>
    <row r="10">
      <c r="A10" s="12" t="n">
        <v>7</v>
      </c>
      <c r="B10" s="6" t="inlineStr">
        <is>
          <t>DNSC-Zulassung: Inhaber, Typ, Nummer, Laufzeit, Umfang, Kopie</t>
        </is>
      </c>
      <c r="C10" s="5" t="n"/>
      <c r="D10" s="5" t="n"/>
      <c r="E10" s="5" t="n"/>
      <c r="F10" s="5" t="n"/>
    </row>
    <row r="11">
      <c r="A11" s="12" t="n">
        <v>8</v>
      </c>
      <c r="B11" s="6" t="inlineStr">
        <is>
          <t>Unabhängigkeitserklärung inkl. Bezug zu Institutionen und Kunden</t>
        </is>
      </c>
      <c r="C11" s="5" t="n"/>
      <c r="D11" s="5" t="n"/>
      <c r="E11" s="5" t="n"/>
      <c r="F11" s="5" t="n"/>
    </row>
    <row r="12">
      <c r="A12" s="12" t="n">
        <v>9</v>
      </c>
      <c r="B12" s="6" t="inlineStr">
        <is>
          <t>Ansatz je Punkt des Basisumfangs, Standards</t>
        </is>
      </c>
      <c r="C12" s="5" t="n"/>
      <c r="D12" s="5" t="n"/>
      <c r="E12" s="5" t="n"/>
      <c r="F12" s="5" t="n"/>
    </row>
    <row r="13">
      <c r="A13" s="12" t="n">
        <v>10</v>
      </c>
      <c r="B13" s="6" t="inlineStr">
        <is>
          <t>Plan in Wochen, Personentage je Person, Verfügbarkeit Dez 2026 bis Feb 2027</t>
        </is>
      </c>
      <c r="C13" s="5" t="n"/>
      <c r="D13" s="5" t="n"/>
      <c r="E13" s="5" t="n"/>
      <c r="F13" s="5" t="n"/>
    </row>
    <row r="14">
      <c r="A14" s="12" t="n">
        <v>11</v>
      </c>
      <c r="B14" s="6" t="inlineStr">
        <is>
          <t>Was brauchen sie von uns zusätzlich</t>
        </is>
      </c>
      <c r="C14" s="5" t="n"/>
      <c r="D14" s="5" t="n"/>
      <c r="E14" s="5" t="n"/>
      <c r="F14" s="5" t="n"/>
    </row>
    <row r="16">
      <c r="B16" s="8" t="inlineStr">
        <is>
          <t>Anzahl vollständig</t>
        </is>
      </c>
      <c r="C16" s="8">
        <f>COUNTIF(C4:C14,"vollständig")</f>
        <v/>
      </c>
      <c r="D16" s="8">
        <f>COUNTIF(D4:D14,"vollständig")</f>
        <v/>
      </c>
      <c r="E16" s="8">
        <f>COUNTIF(E4:E14,"vollständig")</f>
        <v/>
      </c>
      <c r="F16" s="8">
        <f>COUNTIF(F4:F14,"vollständig")</f>
        <v/>
      </c>
    </row>
  </sheetData>
  <dataValidations count="1">
    <dataValidation sqref="C4 C5 C6 C7 C8 C9 C10 C11 C12 C13 C14 D4 D5 D6 D7 D8 D9 D10 D11 D12 D13 D14 E4 E5 E6 E7 E8 E9 E10 E11 E12 E13 E14 F4 F5 F6 F7 F8 F9 F10 F11 F12 F13 F14" showDropDown="0" showInputMessage="0" showErrorMessage="0" allowBlank="1" type="list">
      <formula1>"vollständig,teilweise,fehlt"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2026-10-28T22:54:45Z</dcterms:created>
  <dcterms:modified xmlns:dcterms="http://purl.org/dc/terms/" xmlns:xsi="http://www.w3.org/2001/XMLSchema-instance" xsi:type="dcterms:W3CDTF">2026-10-28T22:54:45Z</dcterms:modified>
</cp:coreProperties>
</file>